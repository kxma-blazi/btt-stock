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BorrowData" sheetId="2" r:id="rId6"/>
    <sheet state="visible" name="Locations" sheetId="3" r:id="rId7"/>
    <sheet state="visible" name="Categories" sheetId="4" r:id="rId8"/>
  </sheets>
  <definedNames/>
  <calcPr/>
</workbook>
</file>

<file path=xl/sharedStrings.xml><?xml version="1.0" encoding="utf-8"?>
<sst xmlns="http://schemas.openxmlformats.org/spreadsheetml/2006/main" count="35" uniqueCount="35">
  <si>
    <t>QR-Code</t>
  </si>
  <si>
    <t>ลำดับ</t>
  </si>
  <si>
    <t>รายการสถานที่</t>
  </si>
  <si>
    <t>รายการหมวดหมู่</t>
  </si>
  <si>
    <t>Time-Stamp</t>
  </si>
  <si>
    <t>รูปภาพ</t>
  </si>
  <si>
    <t>รหัสสินค้า</t>
  </si>
  <si>
    <t>ชื่อรายการ</t>
  </si>
  <si>
    <t>หมวดหมู่</t>
  </si>
  <si>
    <t>สถานที่จัดเก็บ</t>
  </si>
  <si>
    <t>Stock Max</t>
  </si>
  <si>
    <t>Stock Min</t>
  </si>
  <si>
    <t>ราคา/หน่วย</t>
  </si>
  <si>
    <t>จำนวน BTT</t>
  </si>
  <si>
    <t>จำนวน TKE</t>
  </si>
  <si>
    <t>TOTAL</t>
  </si>
  <si>
    <t>รหัสอุปกรณ์</t>
  </si>
  <si>
    <t>สถานะ</t>
  </si>
  <si>
    <t>ชื่อโครงการ</t>
  </si>
  <si>
    <t>ต้องซื้อเพิ่ม</t>
  </si>
  <si>
    <t>จำนวน</t>
  </si>
  <si>
    <t>หมายเหตุ</t>
  </si>
  <si>
    <t>วันที่เบิก</t>
  </si>
  <si>
    <t>วันที่คืน</t>
  </si>
  <si>
    <t>มูลค่ารวม</t>
  </si>
  <si>
    <t>ชื่อผู้เบิก</t>
  </si>
  <si>
    <t>ตำแหน่งที่อยู่ของอุปกรณ์</t>
  </si>
  <si>
    <t>https://picsum.photos/seed/ast010/100</t>
  </si>
  <si>
    <t>AST-001</t>
  </si>
  <si>
    <t>สว่านไฟฟ้าไร้สาย Bosch 18V</t>
  </si>
  <si>
    <t>เครื่องมือช่าง</t>
  </si>
  <si>
    <t>คลังกลาง</t>
  </si>
  <si>
    <t>ทดสอบ</t>
  </si>
  <si>
    <t>k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</si>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</sst>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9.0"/>
      <color rgb="FF374151"/>
      <name val="Monospace"/>
    </font>
    <font>
      <sz val="9.0"/>
      <color rgb="FF37415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readingOrder="0" shrinkToFit="0" wrapText="0"/>
    </xf>
    <xf borderId="2" fillId="2" fontId="4" numFmtId="0" xfId="0" applyAlignment="1" applyBorder="1" applyFill="1" applyFont="1">
      <alignment horizontal="center" readingOrder="0" shrinkToFit="0" wrapText="0"/>
    </xf>
    <xf borderId="0" fillId="2" fontId="4" numFmtId="0" xfId="0" applyAlignment="1" applyFill="1" applyFont="1">
      <alignment readingOrder="0" shrinkToFit="0" wrapText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2" fontId="5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csum.photos/seed/ast010/1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6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21</v>
      </c>
      <c r="Q1" s="4" t="s">
        <v>24</v>
      </c>
    </row>
    <row r="2">
      <c r="A2" s="5" t="str">
        <f>IF($D2="","",IMAGE("https://api.qrserver.com/v1/create-qr-code/?size=150x150&amp;data="&amp;$D2))</f>
        <v/>
      </c>
      <c r="B2" s="6">
        <v>46292.375</v>
      </c>
      <c r="C2" s="7" t="s">
        <v>27</v>
      </c>
      <c r="D2" s="8" t="s">
        <v>28</v>
      </c>
      <c r="E2" s="9" t="s">
        <v>29</v>
      </c>
      <c r="F2" s="10" t="s">
        <v>30</v>
      </c>
      <c r="G2" s="11" t="s">
        <v>31</v>
      </c>
      <c r="H2" s="11">
        <v>10.0</v>
      </c>
      <c r="I2" s="11">
        <v>2.0</v>
      </c>
      <c r="J2" s="11">
        <v>3200.0</v>
      </c>
      <c r="K2" s="11">
        <v>4.0</v>
      </c>
      <c r="L2" s="11">
        <v>1.0</v>
      </c>
      <c r="M2" s="11">
        <f>K2+L2</f>
        <v>5</v>
      </c>
      <c r="N2" s="5"/>
      <c r="O2" s="5" t="str">
        <f>IF($D2="","",IF(M2&lt;=$I2,"ต้องซื้อเพิ่ม","เพียงพอ"))</f>
        <v>เพียงพอ</v>
      </c>
      <c r="P2" s="11" t="s">
        <v>32</v>
      </c>
      <c r="Q2" s="12">
        <f>IF($D2="","",M2*$J2)</f>
        <v>16000</v>
      </c>
    </row>
    <row r="3">
      <c r="A3" s="5"/>
      <c r="B3" s="11"/>
      <c r="C3" s="5"/>
      <c r="D3" s="11" t="s">
        <v>33</v>
      </c>
      <c r="E3" s="13" t="s">
        <v>34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2"/>
    </row>
    <row r="4">
      <c r="A4" s="5"/>
      <c r="B4" s="1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2"/>
    </row>
    <row r="5">
      <c r="A5" s="5"/>
      <c r="B5" s="1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2"/>
    </row>
    <row r="6">
      <c r="A6" s="5"/>
      <c r="B6" s="1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2"/>
    </row>
    <row r="7">
      <c r="A7" s="5"/>
      <c r="B7" s="1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"/>
    </row>
    <row r="8">
      <c r="A8" s="5"/>
      <c r="B8" s="1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2"/>
    </row>
    <row r="9">
      <c r="A9" s="5"/>
      <c r="B9" s="1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2"/>
    </row>
    <row r="10">
      <c r="A10" s="5"/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2"/>
    </row>
    <row r="11">
      <c r="A11" s="5"/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2"/>
    </row>
    <row r="12">
      <c r="A12" s="5"/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2"/>
    </row>
    <row r="13">
      <c r="A13" s="5"/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2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2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2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2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2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2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2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2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2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2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2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2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2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2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2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2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2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2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2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2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1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12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12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2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1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12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2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2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12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2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2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2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12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2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2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12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12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2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2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2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2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2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2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2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2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2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2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2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2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2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2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2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12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12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2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2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2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2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2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2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2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2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2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2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2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2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2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12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12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12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12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2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2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2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2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2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2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2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2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2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2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2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2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2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2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2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2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2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2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2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2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2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2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2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2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2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2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2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2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2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12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2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2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2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2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2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2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2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2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2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2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2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2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12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12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12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2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2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2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2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2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2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2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2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2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2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2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2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2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2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2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2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2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2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2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2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2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2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2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2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2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2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2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2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2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2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2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2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2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2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2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2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2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2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2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2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2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2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2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2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2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2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2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2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2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2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2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2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2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2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2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2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2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2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2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2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2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2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2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2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2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2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2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2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2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2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2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2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2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2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2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2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2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2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2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2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2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2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2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2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2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2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2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2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2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2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2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2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2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2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2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2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12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2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2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2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2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2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2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2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12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12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12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12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12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2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12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12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12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12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12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12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12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2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2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12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12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12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12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2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2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12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12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2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12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2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12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12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2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12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12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12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12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12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12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2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12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12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12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12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12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12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12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12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12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12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12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2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12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12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2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12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12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12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12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12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12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12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12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12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12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12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12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12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12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2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12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12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12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12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12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12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12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12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12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12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12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12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2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2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2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12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12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12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12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12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12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12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12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12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12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12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12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12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12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2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12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12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12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12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12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12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12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12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12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12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12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12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12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12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2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12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12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12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12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12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12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12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12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12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12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12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12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12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2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2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12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12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2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12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12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12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12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12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12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12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12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12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12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12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2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12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12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12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12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12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12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12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12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12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12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12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12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12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12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2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12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12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12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12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12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12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12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12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12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12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12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12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12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12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2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2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12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12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12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12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12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12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12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12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12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12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12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12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12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2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12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12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12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12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12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12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12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12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12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12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12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12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12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12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2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12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12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12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12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12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12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12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12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12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12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12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12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12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12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2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12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12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12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12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12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12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12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12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12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12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12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12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12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12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12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2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12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12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12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12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12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12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12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12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12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12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12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12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12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12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2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12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12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12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12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12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12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12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12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12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12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2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12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12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12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12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12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12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12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12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12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12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12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12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12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12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12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12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12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12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12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12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12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12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12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12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12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12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12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12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12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12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12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12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12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12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12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12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12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12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12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12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12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12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12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12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12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12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12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12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12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12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12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12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12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12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12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12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12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12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12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12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12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12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12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12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12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12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12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12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12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12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12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12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12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12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12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12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12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12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12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12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12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12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12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12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12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12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12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12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12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12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12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12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12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12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12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12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12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12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12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12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12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12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12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12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12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12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12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12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12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12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12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12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12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12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12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12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12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12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12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12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12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12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12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12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12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12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12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12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12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12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12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12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12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12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12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12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12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12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12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12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12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12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12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12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12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12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12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12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12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12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12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12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12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12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12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12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12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12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12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12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12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12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12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12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12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12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12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12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12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12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12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12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12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12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12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12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12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12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12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12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12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12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12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12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12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12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12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12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12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12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12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12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12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12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12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12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12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12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12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12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12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12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12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12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12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12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12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12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12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12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12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12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12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12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12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12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12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12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12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12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12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12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12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12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12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12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12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12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12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12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12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12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12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12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12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12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12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12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12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12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12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12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12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12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12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12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12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12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12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12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12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12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12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12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12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12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12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12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12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12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12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12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12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12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12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12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12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12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12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12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12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12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12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12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12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12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12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12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12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12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12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12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12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12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12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12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12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12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12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12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12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12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12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12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12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12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12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12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12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12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12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12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12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12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12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12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12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12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12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12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12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12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12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12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12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12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12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12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12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12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12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12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12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12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12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12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12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12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12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12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12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12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12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12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12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12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12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12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12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12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12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12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12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12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12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12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12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12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12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12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12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12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12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12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12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12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12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12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12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12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12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12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12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12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12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12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12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12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12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12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12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12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12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12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12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12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12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12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12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12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12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12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12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12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12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12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12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12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12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12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12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12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12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12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12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12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12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12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12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12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12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12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12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12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12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12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12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12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12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12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12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12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12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12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12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12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12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12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12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12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12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12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12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12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12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12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12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12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12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12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12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12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12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12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12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12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12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12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12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12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12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12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12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12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12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12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12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12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12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12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12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12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12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12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12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12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12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12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12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12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12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12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12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12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12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12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12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12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12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12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12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12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12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12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12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12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12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12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12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12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12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12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12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12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12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12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12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12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12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12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12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12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12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12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12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12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12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12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12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12"/>
    </row>
  </sheetData>
  <dataValidations>
    <dataValidation type="list" allowBlank="1" showErrorMessage="1" sqref="N2">
      <formula1>"พร้อมใช้งาน,ถูกยืม,ชำรุด"</formula1>
    </dataValidation>
  </dataValidation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23</v>
      </c>
      <c r="G1" s="1" t="s">
        <v>25</v>
      </c>
      <c r="H1" s="1" t="s">
        <v>26</v>
      </c>
    </row>
    <row r="2">
      <c r="A2" s="3"/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